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Orders &amp; Payments" sheetId="3" state="visible" r:id="rId3"/>
    <sheet xmlns:r="http://schemas.openxmlformats.org/officeDocument/2006/relationships" name="Analysis" sheetId="4" state="visible" r:id="rId4"/>
    <sheet xmlns:r="http://schemas.openxmlformats.org/officeDocument/2006/relationships"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1F4E79"/>
      <sz val="11"/>
    </font>
    <font>
      <name val="Arial"/>
      <b val="1"/>
      <color rgb="00FFFFFF"/>
      <sz val="15"/>
    </font>
    <font>
      <name val="Arial"/>
      <i val="1"/>
      <color rgb="00555555"/>
      <sz val="10"/>
    </font>
  </fonts>
  <fills count="8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2E86AB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5" fillId="0" borderId="0" pivotButton="0" quotePrefix="0" xfId="0"/>
    <xf numFmtId="0" fontId="4" fillId="0" borderId="0" pivotButton="0" quotePrefix="0" xfId="0"/>
    <xf numFmtId="0" fontId="0" fillId="0" borderId="1" pivotButton="0" quotePrefix="0" xfId="0"/>
    <xf numFmtId="165" fontId="3" fillId="4" borderId="1" applyAlignment="1" pivotButton="0" quotePrefix="0" xfId="0">
      <alignment horizontal="center" vertical="center"/>
    </xf>
    <xf numFmtId="0" fontId="5" fillId="0" borderId="1" pivotButton="0" quotePrefix="0" xfId="0"/>
    <xf numFmtId="165" fontId="3" fillId="5" borderId="1" applyAlignment="1" pivotButton="0" quotePrefix="0" xfId="0">
      <alignment horizontal="center" vertical="center"/>
    </xf>
    <xf numFmtId="0" fontId="3" fillId="0" borderId="1" pivotButton="0" quotePrefix="0" xfId="0"/>
    <xf numFmtId="164" fontId="4" fillId="2" borderId="1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164" fontId="1" fillId="7" borderId="0" applyAlignment="1" pivotButton="0" quotePrefix="0" xfId="0">
      <alignment horizontal="center" vertical="center"/>
    </xf>
    <xf numFmtId="1" fontId="1" fillId="7" borderId="0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'Analysis'!B4</f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>
              <a:prstDash val="solid"/>
            </a:ln>
          </spPr>
          <cat>
            <numRef>
              <f>'Analysis'!$A$5:$A$14</f>
            </numRef>
          </cat>
          <val>
            <numRef>
              <f>'Analysis'!$B$5:$B$14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7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14" customWidth="1" min="4" max="4"/>
    <col width="14" customWidth="1" min="5" max="5"/>
  </cols>
  <sheetData>
    <row r="1">
      <c r="A1" s="1" t="inlineStr">
        <is>
          <t>Customer Dataset</t>
        </is>
      </c>
    </row>
    <row r="2">
      <c r="A2" s="2" t="inlineStr">
        <is>
          <t>Customer ID</t>
        </is>
      </c>
      <c r="B2" s="2" t="inlineStr">
        <is>
          <t>Name</t>
        </is>
      </c>
      <c r="C2" s="2" t="inlineStr">
        <is>
          <t>Email</t>
        </is>
      </c>
      <c r="D2" s="2" t="inlineStr">
        <is>
          <t>City</t>
        </is>
      </c>
      <c r="E2" s="2" t="inlineStr">
        <is>
          <t>Join Date</t>
        </is>
      </c>
    </row>
    <row r="3">
      <c r="A3" s="3" t="n">
        <v>1</v>
      </c>
      <c r="B3" s="4" t="inlineStr">
        <is>
          <t>Stuti Maheska</t>
        </is>
      </c>
      <c r="C3" s="4" t="inlineStr">
        <is>
          <t>stuti@gmail.com</t>
        </is>
      </c>
      <c r="D3" s="4" t="inlineStr">
        <is>
          <t>Patna</t>
        </is>
      </c>
      <c r="E3" s="4" t="inlineStr">
        <is>
          <t>2023-01-15</t>
        </is>
      </c>
    </row>
    <row r="4">
      <c r="A4" s="5" t="n">
        <v>2</v>
      </c>
      <c r="B4" s="6" t="inlineStr">
        <is>
          <t>Aman Verma</t>
        </is>
      </c>
      <c r="C4" s="6" t="inlineStr">
        <is>
          <t>aman@gmail.com</t>
        </is>
      </c>
      <c r="D4" s="6" t="inlineStr">
        <is>
          <t>Delhi</t>
        </is>
      </c>
      <c r="E4" s="6" t="inlineStr">
        <is>
          <t>2023-02-10</t>
        </is>
      </c>
    </row>
    <row r="5">
      <c r="A5" s="3" t="n">
        <v>3</v>
      </c>
      <c r="B5" s="4" t="inlineStr">
        <is>
          <t>Priya Sharma</t>
        </is>
      </c>
      <c r="C5" s="4" t="inlineStr">
        <is>
          <t>priya@gmail.com</t>
        </is>
      </c>
      <c r="D5" s="4" t="inlineStr">
        <is>
          <t>Mumbai</t>
        </is>
      </c>
      <c r="E5" s="4" t="inlineStr">
        <is>
          <t>2023-03-05</t>
        </is>
      </c>
    </row>
    <row r="6">
      <c r="A6" s="5" t="n">
        <v>4</v>
      </c>
      <c r="B6" s="6" t="inlineStr">
        <is>
          <t>Rohit Singh</t>
        </is>
      </c>
      <c r="C6" s="6" t="inlineStr">
        <is>
          <t>rohit@gmail.com</t>
        </is>
      </c>
      <c r="D6" s="6" t="inlineStr">
        <is>
          <t>Kolkata</t>
        </is>
      </c>
      <c r="E6" s="6" t="inlineStr">
        <is>
          <t>2023-04-20</t>
        </is>
      </c>
    </row>
    <row r="7">
      <c r="A7" s="3" t="n">
        <v>5</v>
      </c>
      <c r="B7" s="4" t="inlineStr">
        <is>
          <t>Neha Gupta</t>
        </is>
      </c>
      <c r="C7" s="4" t="inlineStr">
        <is>
          <t>neha@gmail.com</t>
        </is>
      </c>
      <c r="D7" s="4" t="inlineStr">
        <is>
          <t>Bangalore</t>
        </is>
      </c>
      <c r="E7" s="4" t="inlineStr">
        <is>
          <t>2023-05-18</t>
        </is>
      </c>
    </row>
    <row r="8">
      <c r="A8" s="5" t="n">
        <v>6</v>
      </c>
      <c r="B8" s="6" t="inlineStr">
        <is>
          <t>Karan Mehta</t>
        </is>
      </c>
      <c r="C8" s="6" t="inlineStr">
        <is>
          <t>karan@gmail.com</t>
        </is>
      </c>
      <c r="D8" s="6" t="inlineStr">
        <is>
          <t>Chennai</t>
        </is>
      </c>
      <c r="E8" s="6" t="inlineStr">
        <is>
          <t>2023-06-22</t>
        </is>
      </c>
    </row>
    <row r="9">
      <c r="A9" s="3" t="n">
        <v>7</v>
      </c>
      <c r="B9" s="4" t="inlineStr">
        <is>
          <t>Pooja Jain</t>
        </is>
      </c>
      <c r="C9" s="4" t="inlineStr">
        <is>
          <t>pooja@gmail.com</t>
        </is>
      </c>
      <c r="D9" s="4" t="inlineStr">
        <is>
          <t>Hyderabad</t>
        </is>
      </c>
      <c r="E9" s="4" t="inlineStr">
        <is>
          <t>2023-07-11</t>
        </is>
      </c>
    </row>
    <row r="10">
      <c r="A10" s="5" t="n">
        <v>8</v>
      </c>
      <c r="B10" s="6" t="inlineStr">
        <is>
          <t>Arjun Das</t>
        </is>
      </c>
      <c r="C10" s="6" t="inlineStr">
        <is>
          <t>arjun@gmail.com</t>
        </is>
      </c>
      <c r="D10" s="6" t="inlineStr">
        <is>
          <t>Pune</t>
        </is>
      </c>
      <c r="E10" s="6" t="inlineStr">
        <is>
          <t>2023-08-30</t>
        </is>
      </c>
    </row>
    <row r="11">
      <c r="A11" s="3" t="n">
        <v>9</v>
      </c>
      <c r="B11" s="4" t="inlineStr">
        <is>
          <t>Sneha Mishra</t>
        </is>
      </c>
      <c r="C11" s="4" t="inlineStr">
        <is>
          <t>sneha@gmail.com</t>
        </is>
      </c>
      <c r="D11" s="4" t="inlineStr">
        <is>
          <t>Jaipur</t>
        </is>
      </c>
      <c r="E11" s="4" t="inlineStr">
        <is>
          <t>2023-09-14</t>
        </is>
      </c>
    </row>
    <row r="12">
      <c r="A12" s="5" t="n">
        <v>10</v>
      </c>
      <c r="B12" s="6" t="inlineStr">
        <is>
          <t>Vikram Nair</t>
        </is>
      </c>
      <c r="C12" s="6" t="inlineStr">
        <is>
          <t>vikram@gmail.com</t>
        </is>
      </c>
      <c r="D12" s="6" t="inlineStr">
        <is>
          <t>Surat</t>
        </is>
      </c>
      <c r="E12" s="6" t="inlineStr">
        <is>
          <t>2023-10-03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4" customWidth="1" min="4" max="4"/>
  </cols>
  <sheetData>
    <row r="1">
      <c r="A1" s="1" t="inlineStr">
        <is>
          <t>Product Dataset</t>
        </is>
      </c>
    </row>
    <row r="2">
      <c r="A2" s="2" t="inlineStr">
        <is>
          <t>Product ID</t>
        </is>
      </c>
      <c r="B2" s="2" t="inlineStr">
        <is>
          <t>Product Name</t>
        </is>
      </c>
      <c r="C2" s="2" t="inlineStr">
        <is>
          <t>Category</t>
        </is>
      </c>
      <c r="D2" s="2" t="inlineStr">
        <is>
          <t>Price (₹)</t>
        </is>
      </c>
    </row>
    <row r="3">
      <c r="A3" s="3" t="n">
        <v>1</v>
      </c>
      <c r="B3" s="4" t="inlineStr">
        <is>
          <t>Laptop</t>
        </is>
      </c>
      <c r="C3" s="4" t="inlineStr">
        <is>
          <t>Electronics</t>
        </is>
      </c>
      <c r="D3" s="7" t="n">
        <v>55000</v>
      </c>
    </row>
    <row r="4">
      <c r="A4" s="5" t="n">
        <v>2</v>
      </c>
      <c r="B4" s="6" t="inlineStr">
        <is>
          <t>Smartphone</t>
        </is>
      </c>
      <c r="C4" s="6" t="inlineStr">
        <is>
          <t>Electronics</t>
        </is>
      </c>
      <c r="D4" s="8" t="n">
        <v>20000</v>
      </c>
    </row>
    <row r="5">
      <c r="A5" s="3" t="n">
        <v>3</v>
      </c>
      <c r="B5" s="4" t="inlineStr">
        <is>
          <t>Headphones</t>
        </is>
      </c>
      <c r="C5" s="4" t="inlineStr">
        <is>
          <t>Electronics</t>
        </is>
      </c>
      <c r="D5" s="7" t="n">
        <v>3500</v>
      </c>
    </row>
    <row r="6">
      <c r="A6" s="5" t="n">
        <v>4</v>
      </c>
      <c r="B6" s="6" t="inlineStr">
        <is>
          <t>Desk Chair</t>
        </is>
      </c>
      <c r="C6" s="6" t="inlineStr">
        <is>
          <t>Furniture</t>
        </is>
      </c>
      <c r="D6" s="8" t="n">
        <v>12000</v>
      </c>
    </row>
    <row r="7">
      <c r="A7" s="3" t="n">
        <v>5</v>
      </c>
      <c r="B7" s="4" t="inlineStr">
        <is>
          <t>Study Table</t>
        </is>
      </c>
      <c r="C7" s="4" t="inlineStr">
        <is>
          <t>Furniture</t>
        </is>
      </c>
      <c r="D7" s="7" t="n">
        <v>8000</v>
      </c>
    </row>
    <row r="8">
      <c r="A8" s="5" t="n">
        <v>6</v>
      </c>
      <c r="B8" s="6" t="inlineStr">
        <is>
          <t>Python Book</t>
        </is>
      </c>
      <c r="C8" s="6" t="inlineStr">
        <is>
          <t>Books</t>
        </is>
      </c>
      <c r="D8" s="8" t="n">
        <v>600</v>
      </c>
    </row>
    <row r="9">
      <c r="A9" s="3" t="n">
        <v>7</v>
      </c>
      <c r="B9" s="4" t="inlineStr">
        <is>
          <t>SQL Guide</t>
        </is>
      </c>
      <c r="C9" s="4" t="inlineStr">
        <is>
          <t>Books</t>
        </is>
      </c>
      <c r="D9" s="7" t="n">
        <v>450</v>
      </c>
    </row>
    <row r="10">
      <c r="A10" s="5" t="n">
        <v>8</v>
      </c>
      <c r="B10" s="6" t="inlineStr">
        <is>
          <t>Backpack</t>
        </is>
      </c>
      <c r="C10" s="6" t="inlineStr">
        <is>
          <t>Accessories</t>
        </is>
      </c>
      <c r="D10" s="8" t="n">
        <v>1500</v>
      </c>
    </row>
    <row r="11">
      <c r="A11" s="3" t="n">
        <v>9</v>
      </c>
      <c r="B11" s="4" t="inlineStr">
        <is>
          <t>Water Bottle</t>
        </is>
      </c>
      <c r="C11" s="4" t="inlineStr">
        <is>
          <t>Accessories</t>
        </is>
      </c>
      <c r="D11" s="7" t="n">
        <v>300</v>
      </c>
    </row>
    <row r="12">
      <c r="A12" s="5" t="n">
        <v>10</v>
      </c>
      <c r="B12" s="6" t="inlineStr">
        <is>
          <t>Notebook Set</t>
        </is>
      </c>
      <c r="C12" s="6" t="inlineStr">
        <is>
          <t>Stationery</t>
        </is>
      </c>
      <c r="D12" s="8" t="n">
        <v>250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8" customWidth="1" min="3" max="3"/>
    <col width="14" customWidth="1" min="4" max="4"/>
    <col width="18" customWidth="1" min="5" max="5"/>
    <col width="16" customWidth="1" min="6" max="6"/>
  </cols>
  <sheetData>
    <row r="1">
      <c r="A1" s="1" t="inlineStr">
        <is>
          <t>Orders &amp; Payments Dataset</t>
        </is>
      </c>
    </row>
    <row r="2">
      <c r="A2" s="2" t="inlineStr">
        <is>
          <t>Order ID</t>
        </is>
      </c>
      <c r="B2" s="2" t="inlineStr">
        <is>
          <t>Customer ID</t>
        </is>
      </c>
      <c r="C2" s="2" t="inlineStr">
        <is>
          <t>Customer Name</t>
        </is>
      </c>
      <c r="D2" s="2" t="inlineStr">
        <is>
          <t>Order Date</t>
        </is>
      </c>
      <c r="E2" s="2" t="inlineStr">
        <is>
          <t>Amount Paid (₹)</t>
        </is>
      </c>
      <c r="F2" s="2" t="inlineStr">
        <is>
          <t>Payment Method</t>
        </is>
      </c>
    </row>
    <row r="3">
      <c r="A3" s="3" t="n">
        <v>1</v>
      </c>
      <c r="B3" s="3" t="n">
        <v>1</v>
      </c>
      <c r="C3" s="4" t="inlineStr">
        <is>
          <t>Stuti Maheska</t>
        </is>
      </c>
      <c r="D3" s="4" t="inlineStr">
        <is>
          <t>2024-01-10</t>
        </is>
      </c>
      <c r="E3" s="7" t="n">
        <v>62000</v>
      </c>
      <c r="F3" s="4" t="inlineStr">
        <is>
          <t>UPI</t>
        </is>
      </c>
    </row>
    <row r="4">
      <c r="A4" s="5" t="n">
        <v>2</v>
      </c>
      <c r="B4" s="5" t="n">
        <v>2</v>
      </c>
      <c r="C4" s="6" t="inlineStr">
        <is>
          <t>Aman Verma</t>
        </is>
      </c>
      <c r="D4" s="6" t="inlineStr">
        <is>
          <t>2024-01-15</t>
        </is>
      </c>
      <c r="E4" s="8" t="n">
        <v>20000</v>
      </c>
      <c r="F4" s="6" t="inlineStr">
        <is>
          <t>Credit Card</t>
        </is>
      </c>
    </row>
    <row r="5">
      <c r="A5" s="3" t="n">
        <v>3</v>
      </c>
      <c r="B5" s="3" t="n">
        <v>3</v>
      </c>
      <c r="C5" s="4" t="inlineStr">
        <is>
          <t>Priya Sharma</t>
        </is>
      </c>
      <c r="D5" s="4" t="inlineStr">
        <is>
          <t>2024-02-01</t>
        </is>
      </c>
      <c r="E5" s="7" t="n">
        <v>13200</v>
      </c>
      <c r="F5" s="4" t="inlineStr">
        <is>
          <t>Debit Card</t>
        </is>
      </c>
    </row>
    <row r="6">
      <c r="A6" s="5" t="n">
        <v>4</v>
      </c>
      <c r="B6" s="5" t="n">
        <v>4</v>
      </c>
      <c r="C6" s="6" t="inlineStr">
        <is>
          <t>Rohit Singh</t>
        </is>
      </c>
      <c r="D6" s="6" t="inlineStr">
        <is>
          <t>2024-02-14</t>
        </is>
      </c>
      <c r="E6" s="8" t="n">
        <v>8000</v>
      </c>
      <c r="F6" s="6" t="inlineStr">
        <is>
          <t>UPI</t>
        </is>
      </c>
    </row>
    <row r="7">
      <c r="A7" s="3" t="n">
        <v>5</v>
      </c>
      <c r="B7" s="3" t="n">
        <v>5</v>
      </c>
      <c r="C7" s="4" t="inlineStr">
        <is>
          <t>Neha Gupta</t>
        </is>
      </c>
      <c r="D7" s="4" t="inlineStr">
        <is>
          <t>2024-03-05</t>
        </is>
      </c>
      <c r="E7" s="7" t="n">
        <v>21500</v>
      </c>
      <c r="F7" s="4" t="inlineStr">
        <is>
          <t>Net Banking</t>
        </is>
      </c>
    </row>
    <row r="8">
      <c r="A8" s="5" t="n">
        <v>6</v>
      </c>
      <c r="B8" s="5" t="n">
        <v>1</v>
      </c>
      <c r="C8" s="6" t="inlineStr">
        <is>
          <t>Stuti Maheska</t>
        </is>
      </c>
      <c r="D8" s="6" t="inlineStr">
        <is>
          <t>2024-03-20</t>
        </is>
      </c>
      <c r="E8" s="8" t="n">
        <v>1350</v>
      </c>
      <c r="F8" s="6" t="inlineStr">
        <is>
          <t>UPI</t>
        </is>
      </c>
    </row>
    <row r="9">
      <c r="A9" s="3" t="n">
        <v>7</v>
      </c>
      <c r="B9" s="3" t="n">
        <v>6</v>
      </c>
      <c r="C9" s="4" t="inlineStr">
        <is>
          <t>Karan Mehta</t>
        </is>
      </c>
      <c r="D9" s="4" t="inlineStr">
        <is>
          <t>2024-04-02</t>
        </is>
      </c>
      <c r="E9" s="7" t="n">
        <v>55000</v>
      </c>
      <c r="F9" s="4" t="inlineStr">
        <is>
          <t>Credit Card</t>
        </is>
      </c>
    </row>
    <row r="10">
      <c r="A10" s="5" t="n">
        <v>8</v>
      </c>
      <c r="B10" s="5" t="n">
        <v>7</v>
      </c>
      <c r="C10" s="6" t="inlineStr">
        <is>
          <t>Pooja Jain</t>
        </is>
      </c>
      <c r="D10" s="6" t="inlineStr">
        <is>
          <t>2024-04-18</t>
        </is>
      </c>
      <c r="E10" s="8" t="n">
        <v>3500</v>
      </c>
      <c r="F10" s="6" t="inlineStr">
        <is>
          <t>UPI</t>
        </is>
      </c>
    </row>
    <row r="11">
      <c r="A11" s="3" t="n">
        <v>9</v>
      </c>
      <c r="B11" s="3" t="n">
        <v>2</v>
      </c>
      <c r="C11" s="4" t="inlineStr">
        <is>
          <t>Aman Verma</t>
        </is>
      </c>
      <c r="D11" s="4" t="inlineStr">
        <is>
          <t>2024-05-07</t>
        </is>
      </c>
      <c r="E11" s="7" t="n">
        <v>1200</v>
      </c>
      <c r="F11" s="4" t="inlineStr">
        <is>
          <t>Cash</t>
        </is>
      </c>
    </row>
    <row r="12">
      <c r="A12" s="5" t="n">
        <v>10</v>
      </c>
      <c r="B12" s="5" t="n">
        <v>8</v>
      </c>
      <c r="C12" s="6" t="inlineStr">
        <is>
          <t>Arjun Das</t>
        </is>
      </c>
      <c r="D12" s="6" t="inlineStr">
        <is>
          <t>2024-05-25</t>
        </is>
      </c>
      <c r="E12" s="8" t="n">
        <v>1250</v>
      </c>
      <c r="F12" s="6" t="inlineStr">
        <is>
          <t>UPI</t>
        </is>
      </c>
    </row>
    <row r="13">
      <c r="A13" s="3" t="n">
        <v>11</v>
      </c>
      <c r="B13" s="3" t="n">
        <v>9</v>
      </c>
      <c r="C13" s="4" t="inlineStr">
        <is>
          <t>Sneha Mishra</t>
        </is>
      </c>
      <c r="D13" s="4" t="inlineStr">
        <is>
          <t>2024-06-10</t>
        </is>
      </c>
      <c r="E13" s="7" t="n">
        <v>20000</v>
      </c>
      <c r="F13" s="4" t="inlineStr">
        <is>
          <t>Debit Card</t>
        </is>
      </c>
    </row>
    <row r="14">
      <c r="A14" s="5" t="n">
        <v>12</v>
      </c>
      <c r="B14" s="5" t="n">
        <v>10</v>
      </c>
      <c r="C14" s="6" t="inlineStr">
        <is>
          <t>Vikram Nair</t>
        </is>
      </c>
      <c r="D14" s="6" t="inlineStr">
        <is>
          <t>2024-06-30</t>
        </is>
      </c>
      <c r="E14" s="8" t="n">
        <v>12000</v>
      </c>
      <c r="F14" s="6" t="inlineStr">
        <is>
          <t>Credit Card</t>
        </is>
      </c>
    </row>
    <row r="15">
      <c r="A15" s="3" t="n">
        <v>13</v>
      </c>
      <c r="B15" s="3" t="n">
        <v>3</v>
      </c>
      <c r="C15" s="4" t="inlineStr">
        <is>
          <t>Priya Sharma</t>
        </is>
      </c>
      <c r="D15" s="4" t="inlineStr">
        <is>
          <t>2024-07-15</t>
        </is>
      </c>
      <c r="E15" s="7" t="n">
        <v>600</v>
      </c>
      <c r="F15" s="4" t="inlineStr">
        <is>
          <t>UPI</t>
        </is>
      </c>
    </row>
    <row r="16">
      <c r="A16" s="5" t="n">
        <v>14</v>
      </c>
      <c r="B16" s="5" t="n">
        <v>5</v>
      </c>
      <c r="C16" s="6" t="inlineStr">
        <is>
          <t>Neha Gupta</t>
        </is>
      </c>
      <c r="D16" s="6" t="inlineStr">
        <is>
          <t>2024-07-28</t>
        </is>
      </c>
      <c r="E16" s="8" t="n">
        <v>3000</v>
      </c>
      <c r="F16" s="6" t="inlineStr">
        <is>
          <t>Net Banking</t>
        </is>
      </c>
    </row>
    <row r="17">
      <c r="A17" s="3" t="n">
        <v>15</v>
      </c>
      <c r="B17" s="3" t="n">
        <v>1</v>
      </c>
      <c r="C17" s="4" t="inlineStr">
        <is>
          <t>Stuti Maheska</t>
        </is>
      </c>
      <c r="D17" s="4" t="inlineStr">
        <is>
          <t>2024-08-05</t>
        </is>
      </c>
      <c r="E17" s="7" t="n">
        <v>55000</v>
      </c>
      <c r="F17" s="4" t="inlineStr">
        <is>
          <t>Credit Card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18" customWidth="1" min="4" max="4"/>
    <col width="26" customWidth="1" min="6" max="6"/>
    <col width="20" customWidth="1" min="7" max="7"/>
  </cols>
  <sheetData>
    <row r="1">
      <c r="A1" s="1" t="inlineStr">
        <is>
          <t>Retail Sales Analysis — Key Insights</t>
        </is>
      </c>
    </row>
    <row r="3">
      <c r="A3" s="9" t="inlineStr">
        <is>
          <t>Revenue by City</t>
        </is>
      </c>
      <c r="F3" s="10" t="inlineStr">
        <is>
          <t>🔍 Customer Lookup (VLOOKUP)</t>
        </is>
      </c>
    </row>
    <row r="4">
      <c r="A4" s="2" t="inlineStr">
        <is>
          <t>City</t>
        </is>
      </c>
      <c r="B4" s="2" t="inlineStr">
        <is>
          <t>Total Revenue (₹)</t>
        </is>
      </c>
      <c r="C4" s="2" t="inlineStr">
        <is>
          <t>% Share</t>
        </is>
      </c>
      <c r="D4" s="2" t="inlineStr">
        <is>
          <t>Rank</t>
        </is>
      </c>
      <c r="F4" s="11" t="inlineStr">
        <is>
          <t>Enter Customer ID:</t>
        </is>
      </c>
      <c r="G4" s="12" t="n">
        <v>1</v>
      </c>
    </row>
    <row r="5">
      <c r="A5" s="4" t="inlineStr">
        <is>
          <t>Patna</t>
        </is>
      </c>
      <c r="B5" s="7" t="n">
        <v>118350</v>
      </c>
      <c r="C5" s="13" t="n">
        <v>0.4263</v>
      </c>
      <c r="D5" s="3">
        <f>RANK(B5,B5:B14,0)</f>
        <v/>
      </c>
      <c r="F5" s="11" t="inlineStr">
        <is>
          <t>Customer Name:</t>
        </is>
      </c>
      <c r="G5" s="14">
        <f>IFERROR(VLOOKUP(G4,Customers!A3:E12,2,FALSE),"Not Found")</f>
        <v/>
      </c>
    </row>
    <row r="6">
      <c r="A6" s="6" t="inlineStr">
        <is>
          <t>Chennai</t>
        </is>
      </c>
      <c r="B6" s="8" t="n">
        <v>55000</v>
      </c>
      <c r="C6" s="15" t="n">
        <v>0.1981</v>
      </c>
      <c r="D6" s="5">
        <f>RANK(B6,B5:B14,0)</f>
        <v/>
      </c>
      <c r="F6" s="11" t="inlineStr">
        <is>
          <t>City:</t>
        </is>
      </c>
      <c r="G6" s="16">
        <f>IFERROR(VLOOKUP(G4,Customers!A3:E12,4,FALSE),"Not Found")</f>
        <v/>
      </c>
    </row>
    <row r="7">
      <c r="A7" s="4" t="inlineStr">
        <is>
          <t>Bangalore</t>
        </is>
      </c>
      <c r="B7" s="7" t="n">
        <v>24500</v>
      </c>
      <c r="C7" s="13" t="n">
        <v>0.0883</v>
      </c>
      <c r="D7" s="3">
        <f>RANK(B7,B5:B14,0)</f>
        <v/>
      </c>
    </row>
    <row r="8">
      <c r="A8" s="6" t="inlineStr">
        <is>
          <t>Delhi</t>
        </is>
      </c>
      <c r="B8" s="8" t="n">
        <v>21200</v>
      </c>
      <c r="C8" s="15" t="n">
        <v>0.0764</v>
      </c>
      <c r="D8" s="5">
        <f>RANK(B8,B5:B14,0)</f>
        <v/>
      </c>
    </row>
    <row r="9">
      <c r="A9" s="4" t="inlineStr">
        <is>
          <t>Jaipur</t>
        </is>
      </c>
      <c r="B9" s="7" t="n">
        <v>20000</v>
      </c>
      <c r="C9" s="13" t="n">
        <v>0.07199999999999999</v>
      </c>
      <c r="D9" s="3">
        <f>RANK(B9,B5:B14,0)</f>
        <v/>
      </c>
    </row>
    <row r="10">
      <c r="A10" s="6" t="inlineStr">
        <is>
          <t>Mumbai</t>
        </is>
      </c>
      <c r="B10" s="8" t="n">
        <v>13800</v>
      </c>
      <c r="C10" s="15" t="n">
        <v>0.0497</v>
      </c>
      <c r="D10" s="5">
        <f>RANK(B10,B5:B14,0)</f>
        <v/>
      </c>
    </row>
    <row r="11">
      <c r="A11" s="4" t="inlineStr">
        <is>
          <t>Surat</t>
        </is>
      </c>
      <c r="B11" s="7" t="n">
        <v>12000</v>
      </c>
      <c r="C11" s="13" t="n">
        <v>0.0432</v>
      </c>
      <c r="D11" s="3">
        <f>RANK(B11,B5:B14,0)</f>
        <v/>
      </c>
    </row>
    <row r="12">
      <c r="A12" s="6" t="inlineStr">
        <is>
          <t>Kolkata</t>
        </is>
      </c>
      <c r="B12" s="8" t="n">
        <v>8000</v>
      </c>
      <c r="C12" s="15" t="n">
        <v>0.0288</v>
      </c>
      <c r="D12" s="5">
        <f>RANK(B12,B5:B14,0)</f>
        <v/>
      </c>
    </row>
    <row r="13">
      <c r="A13" s="4" t="inlineStr">
        <is>
          <t>Hyderabad</t>
        </is>
      </c>
      <c r="B13" s="7" t="n">
        <v>3500</v>
      </c>
      <c r="C13" s="13" t="n">
        <v>0.0126</v>
      </c>
      <c r="D13" s="3">
        <f>RANK(B13,B5:B14,0)</f>
        <v/>
      </c>
    </row>
    <row r="14">
      <c r="A14" s="6" t="inlineStr">
        <is>
          <t>Pune</t>
        </is>
      </c>
      <c r="B14" s="8" t="n">
        <v>1250</v>
      </c>
      <c r="C14" s="15" t="n">
        <v>0.0045</v>
      </c>
      <c r="D14" s="5">
        <f>RANK(B14,B5:B14,0)</f>
        <v/>
      </c>
    </row>
    <row r="15">
      <c r="A15" s="2" t="inlineStr">
        <is>
          <t>TOTAL</t>
        </is>
      </c>
      <c r="B15" s="17">
        <f>SUM(B5:B14)</f>
        <v/>
      </c>
    </row>
    <row r="16">
      <c r="A16" s="9" t="inlineStr">
        <is>
          <t>Payment Method Analysis</t>
        </is>
      </c>
    </row>
    <row r="17">
      <c r="A17" s="2" t="inlineStr">
        <is>
          <t>Payment Method</t>
        </is>
      </c>
      <c r="B17" s="2" t="inlineStr">
        <is>
          <t>No. of Transactions</t>
        </is>
      </c>
      <c r="C17" s="2" t="inlineStr">
        <is>
          <t>Total Amount (₹)</t>
        </is>
      </c>
      <c r="D17" s="2" t="inlineStr">
        <is>
          <t>Avg Amount (₹)</t>
        </is>
      </c>
    </row>
    <row r="18">
      <c r="A18" s="6" t="inlineStr">
        <is>
          <t>Credit Card</t>
        </is>
      </c>
      <c r="B18" s="5" t="n">
        <v>4</v>
      </c>
      <c r="C18" s="8" t="n">
        <v>142000</v>
      </c>
      <c r="D18" s="8" t="n">
        <v>35500</v>
      </c>
    </row>
    <row r="19">
      <c r="A19" s="4" t="inlineStr">
        <is>
          <t>UPI</t>
        </is>
      </c>
      <c r="B19" s="3" t="n">
        <v>6</v>
      </c>
      <c r="C19" s="7" t="n">
        <v>76700</v>
      </c>
      <c r="D19" s="7" t="n">
        <v>12783</v>
      </c>
    </row>
    <row r="20">
      <c r="A20" s="6" t="inlineStr">
        <is>
          <t>Debit Card</t>
        </is>
      </c>
      <c r="B20" s="5" t="n">
        <v>2</v>
      </c>
      <c r="C20" s="8" t="n">
        <v>33200</v>
      </c>
      <c r="D20" s="8" t="n">
        <v>16600</v>
      </c>
    </row>
    <row r="21">
      <c r="A21" s="4" t="inlineStr">
        <is>
          <t>Net Banking</t>
        </is>
      </c>
      <c r="B21" s="3" t="n">
        <v>2</v>
      </c>
      <c r="C21" s="7" t="n">
        <v>24500</v>
      </c>
      <c r="D21" s="7" t="n">
        <v>12250</v>
      </c>
    </row>
    <row r="22">
      <c r="A22" s="6" t="inlineStr">
        <is>
          <t>Cash</t>
        </is>
      </c>
      <c r="B22" s="5" t="n">
        <v>1</v>
      </c>
      <c r="C22" s="8" t="n">
        <v>1200</v>
      </c>
      <c r="D22" s="8" t="n">
        <v>1200</v>
      </c>
    </row>
  </sheetData>
  <mergeCells count="3">
    <mergeCell ref="A3:D3"/>
    <mergeCell ref="A16:D16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" customWidth="1" min="3" max="3"/>
    <col width="20" customWidth="1" min="4" max="4"/>
    <col width="2" customWidth="1" min="5" max="5"/>
    <col width="20" customWidth="1" min="6" max="6"/>
    <col width="2" customWidth="1" min="7" max="7"/>
    <col width="20" customWidth="1" min="8" max="8"/>
    <col width="2" customWidth="1" min="9" max="9"/>
  </cols>
  <sheetData>
    <row r="2" ht="32" customHeight="1">
      <c r="B2" s="18" t="inlineStr">
        <is>
          <t>📊 Retail Sales &amp; Customer Analytics — Dashboard</t>
        </is>
      </c>
    </row>
    <row r="4">
      <c r="B4" s="19" t="inlineStr">
        <is>
          <t>Total Revenue</t>
        </is>
      </c>
      <c r="D4" s="19" t="inlineStr">
        <is>
          <t>Total Orders</t>
        </is>
      </c>
      <c r="F4" s="19" t="inlineStr">
        <is>
          <t>Total Customers</t>
        </is>
      </c>
      <c r="H4" s="19" t="inlineStr">
        <is>
          <t>Avg Order Value</t>
        </is>
      </c>
    </row>
    <row r="5"/>
    <row r="6">
      <c r="B6" s="20">
        <f>SUM('Orders &amp; Payments'!E3:E17)</f>
        <v/>
      </c>
      <c r="D6" s="21">
        <f>COUNTA('Orders &amp; Payments'!A3:A17)</f>
        <v/>
      </c>
      <c r="F6" s="21">
        <f>COUNTA(Customers!A3:A12)</f>
        <v/>
      </c>
      <c r="H6" s="20">
        <f>AVERAGE('Orders &amp; Payments'!E3:E17)</f>
        <v/>
      </c>
    </row>
    <row r="7"/>
    <row r="9">
      <c r="B9" s="22" t="inlineStr">
        <is>
          <t>➡ See Customers, Products, Orders &amp; Payments, and Analysis sheets for full details.</t>
        </is>
      </c>
    </row>
  </sheetData>
  <mergeCells count="9">
    <mergeCell ref="B4:B5"/>
    <mergeCell ref="F4:F5"/>
    <mergeCell ref="D4:D5"/>
    <mergeCell ref="H4:H5"/>
    <mergeCell ref="H6:H7"/>
    <mergeCell ref="B2:K2"/>
    <mergeCell ref="D6:D7"/>
    <mergeCell ref="B6:B7"/>
    <mergeCell ref="F6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2026-06-23T07:47:59Z</dcterms:created>
  <dcterms:modified xmlns:dcterms="http://purl.org/dc/terms/" xmlns:xsi="http://www.w3.org/2001/XMLSchema-instance" xsi:type="dcterms:W3CDTF">2026-06-23T07:47:59Z</dcterms:modified>
</cp:coreProperties>
</file>